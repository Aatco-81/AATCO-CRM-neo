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/>
  <mc:AlternateContent xmlns:mc="http://schemas.openxmlformats.org/markup-compatibility/2006">
    <mc:Choice Requires="x15">
      <x15ac:absPath xmlns:x15ac="http://schemas.microsoft.com/office/spreadsheetml/2010/11/ac" url="D:\New-AATCO-CRM\"/>
    </mc:Choice>
  </mc:AlternateContent>
  <xr:revisionPtr revIDLastSave="0" documentId="13_ncr:1_{A3083F22-9284-45E7-A2C5-3F36522A1D0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إدارة المستخدمين" sheetId="1" r:id="rId1"/>
    <sheet name="الفرص" sheetId="2" r:id="rId2"/>
    <sheet name="ملخص المبيعات" sheetId="3" r:id="rId3"/>
    <sheet name="كود Apps Scri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B11" i="3"/>
  <c r="B10" i="3"/>
  <c r="B9" i="3"/>
  <c r="H8" i="3"/>
  <c r="F8" i="3"/>
  <c r="E8" i="3"/>
  <c r="B8" i="3"/>
  <c r="G7" i="3"/>
  <c r="F7" i="3"/>
  <c r="E7" i="3"/>
  <c r="B7" i="3"/>
  <c r="F6" i="3"/>
  <c r="E6" i="3"/>
  <c r="B6" i="3"/>
  <c r="F5" i="3"/>
  <c r="E5" i="3"/>
  <c r="B5" i="3"/>
  <c r="B4" i="3"/>
  <c r="H19" i="3" l="1"/>
  <c r="H18" i="3"/>
  <c r="H17" i="3"/>
  <c r="H16" i="3"/>
  <c r="G8" i="3"/>
  <c r="H7" i="3"/>
  <c r="H6" i="3"/>
  <c r="G6" i="3"/>
  <c r="H5" i="3"/>
  <c r="G5" i="3"/>
</calcChain>
</file>

<file path=xl/sharedStrings.xml><?xml version="1.0" encoding="utf-8"?>
<sst xmlns="http://schemas.openxmlformats.org/spreadsheetml/2006/main" count="241" uniqueCount="174">
  <si>
    <t>🔐  AATCO Elevators — إدارة المستخدمين والصلاحيات</t>
  </si>
  <si>
    <t>⚠️  هذه البيانات سرية — لا تشارك هذا الملف مع المندوبين</t>
  </si>
  <si>
    <t>👥  قائمة المستخدمين</t>
  </si>
  <si>
    <t>م</t>
  </si>
  <si>
    <t>اسم المستخدم (يظهر في القائمة)</t>
  </si>
  <si>
    <t>كلمة المرور</t>
  </si>
  <si>
    <t>الدور</t>
  </si>
  <si>
    <t>المنطقة</t>
  </si>
  <si>
    <t>الحالة</t>
  </si>
  <si>
    <t>تاريخ الإضافة</t>
  </si>
  <si>
    <t>ملاحظات</t>
  </si>
  <si>
    <t>admin</t>
  </si>
  <si>
    <t>مدير</t>
  </si>
  <si>
    <t>الكل</t>
  </si>
  <si>
    <t>نشط ✅</t>
  </si>
  <si>
    <t>2025-01-01</t>
  </si>
  <si>
    <t>صلاحيات كاملة</t>
  </si>
  <si>
    <t>أحمد السعيد</t>
  </si>
  <si>
    <t>1234</t>
  </si>
  <si>
    <t>مندوب</t>
  </si>
  <si>
    <t>جدة</t>
  </si>
  <si>
    <t>محمد العمري</t>
  </si>
  <si>
    <t>الرياض</t>
  </si>
  <si>
    <t>خالد الزهراني</t>
  </si>
  <si>
    <t>مكة المكرمة</t>
  </si>
  <si>
    <t>سارة المالكي</t>
  </si>
  <si>
    <t>📋  شرح الأدوار والصلاحيات</t>
  </si>
  <si>
    <t>لوحة Kanban</t>
  </si>
  <si>
    <t>إضافة/تعديل فرص</t>
  </si>
  <si>
    <t>حذف فرص</t>
  </si>
  <si>
    <t>التقرير اليومي</t>
  </si>
  <si>
    <t>إحصائيات المدير</t>
  </si>
  <si>
    <t>ربط Google Sheets</t>
  </si>
  <si>
    <t>إدارة المستخدمين</t>
  </si>
  <si>
    <t>✅</t>
  </si>
  <si>
    <t>مشرف</t>
  </si>
  <si>
    <t>❌</t>
  </si>
  <si>
    <t>✅ (فرصه فقط)</t>
  </si>
  <si>
    <t>💡  تعليمات تغيير كلمة المرور</t>
  </si>
  <si>
    <t>1️⃣  لتغيير كلمة مرور مندوب: عدّل الخلية في عمود (كلمة المرور) مباشرة ثم احفظ الملف</t>
  </si>
  <si>
    <t>2️⃣  لإضافة مندوب جديد: أضف صفاً جديداً في الجدول أعلاه وأدخل بياناته</t>
  </si>
  <si>
    <t>3️⃣  لإيقاف مستخدم: غيّر حالته إلى (موقوف ⛔) — لن يتمكن من الدخول</t>
  </si>
  <si>
    <t>4️⃣  كلمات المرور حساسة لحالة الأحرف — (admin) تختلف عن (Admin)</t>
  </si>
  <si>
    <t>5️⃣  لا تشارك هذا الملف مع أحد — احتفظ به في مكان آمن</t>
  </si>
  <si>
    <t>🏢  AATCO Elevators — سجل الفرص البيعية</t>
  </si>
  <si>
    <t>رقم الفرصة</t>
  </si>
  <si>
    <t>اسم العميل</t>
  </si>
  <si>
    <t>رقم الهاتف</t>
  </si>
  <si>
    <t>نوع المبنى</t>
  </si>
  <si>
    <t>عدد الأدوار</t>
  </si>
  <si>
    <t>نوع الخدمة</t>
  </si>
  <si>
    <t>المرحلة</t>
  </si>
  <si>
    <t>الأولوية</t>
  </si>
  <si>
    <t>إجراء المندوب</t>
  </si>
  <si>
    <t>نتيجة الزيارة</t>
  </si>
  <si>
    <t>المندوب</t>
  </si>
  <si>
    <t>القيمة المتوقعة (SR)</t>
  </si>
  <si>
    <t>OPP-001</t>
  </si>
  <si>
    <t>مستشفى الحرس الوطني</t>
  </si>
  <si>
    <t>0551234567</t>
  </si>
  <si>
    <t>طبي</t>
  </si>
  <si>
    <t>12</t>
  </si>
  <si>
    <t>تركيب مصعد جديد</t>
  </si>
  <si>
    <t>زيارة ميدانية</t>
  </si>
  <si>
    <t>P1</t>
  </si>
  <si>
    <t>إيجابية</t>
  </si>
  <si>
    <t>OPP-002</t>
  </si>
  <si>
    <t>برج المملكة</t>
  </si>
  <si>
    <t>0557654321</t>
  </si>
  <si>
    <t>تجاري</t>
  </si>
  <si>
    <t>30</t>
  </si>
  <si>
    <t>تجديد مصعد</t>
  </si>
  <si>
    <t>عرض سعر</t>
  </si>
  <si>
    <t>P2</t>
  </si>
  <si>
    <t>تقديم عرض سعر</t>
  </si>
  <si>
    <t>معلقة</t>
  </si>
  <si>
    <t>OPP-003</t>
  </si>
  <si>
    <t>ساني للمقاولات</t>
  </si>
  <si>
    <t>0562345678</t>
  </si>
  <si>
    <t>سكني</t>
  </si>
  <si>
    <t>8</t>
  </si>
  <si>
    <t>موافقة</t>
  </si>
  <si>
    <t>P3</t>
  </si>
  <si>
    <t>مفاوضة</t>
  </si>
  <si>
    <t>OPP-004</t>
  </si>
  <si>
    <t>أرامكو السعودية</t>
  </si>
  <si>
    <t>0134567890</t>
  </si>
  <si>
    <t>الدمام</t>
  </si>
  <si>
    <t>حكومي</t>
  </si>
  <si>
    <t>6</t>
  </si>
  <si>
    <t>صيانة مصاعد</t>
  </si>
  <si>
    <t>مكتمل</t>
  </si>
  <si>
    <t>إغلاق العقد</t>
  </si>
  <si>
    <t>OPP-005</t>
  </si>
  <si>
    <t>شركة الخليج للتطوير</t>
  </si>
  <si>
    <t>0509876543</t>
  </si>
  <si>
    <t>15</t>
  </si>
  <si>
    <t>جديد</t>
  </si>
  <si>
    <t>P4</t>
  </si>
  <si>
    <t>اتصال هاتفي</t>
  </si>
  <si>
    <t>OPP-006</t>
  </si>
  <si>
    <t>فندق هيلتون جدة</t>
  </si>
  <si>
    <t>0125559900</t>
  </si>
  <si>
    <t>فندقي</t>
  </si>
  <si>
    <t>20</t>
  </si>
  <si>
    <t>إرسال عرض مُعدَّل</t>
  </si>
  <si>
    <t>📊  AATCO Elevators — ملخص المبيعات</t>
  </si>
  <si>
    <t>🎯  مؤشرات الأداء الرئيسية</t>
  </si>
  <si>
    <t>📊  توزيع الفرص حسب الأولوية</t>
  </si>
  <si>
    <t>إجمالي الفرص</t>
  </si>
  <si>
    <t>عدد الفرص</t>
  </si>
  <si>
    <t>القيمة الإجمالية</t>
  </si>
  <si>
    <t>نسبة العدد</t>
  </si>
  <si>
    <t>نسبة القيمة</t>
  </si>
  <si>
    <t>الفرص النشطة</t>
  </si>
  <si>
    <t>P1 🔴 — 3 أيام</t>
  </si>
  <si>
    <t>مكتملة (تم الفوز)</t>
  </si>
  <si>
    <t>P2 🟠 — 10 أيام</t>
  </si>
  <si>
    <t>P1 عاجلة</t>
  </si>
  <si>
    <t>P3 🟡 — 14 يوم</t>
  </si>
  <si>
    <t>إجمالي القيمة المتوقعة</t>
  </si>
  <si>
    <t>P4 🔵 — متابعة</t>
  </si>
  <si>
    <t>قيمة الصفقات المكتملة</t>
  </si>
  <si>
    <t>معدل التحويل</t>
  </si>
  <si>
    <t>متوسط قيمة الصفقة</t>
  </si>
  <si>
    <t>👤  أداء المندوبين</t>
  </si>
  <si>
    <t>مكتملة</t>
  </si>
  <si>
    <t>خسرنا</t>
  </si>
  <si>
    <t>القيمة المتوقعة</t>
  </si>
  <si>
    <t>القيمة المُغلقة</t>
  </si>
  <si>
    <t>📌 الصق هذا الكود في Apps Script لربط النظام بـ Google Sheets</t>
  </si>
  <si>
    <t>function doPost(e) {</t>
  </si>
  <si>
    <t xml:space="preserve">  var ss = SpreadsheetApp.getActiveSpreadsheet();</t>
  </si>
  <si>
    <t xml:space="preserve">  var sheet = ss.getSheetByName("الفرص");</t>
  </si>
  <si>
    <t xml:space="preserve">  var data = JSON.parse(e.postData.contents);</t>
  </si>
  <si>
    <t xml:space="preserve">  var card = data.card;</t>
  </si>
  <si>
    <t xml:space="preserve">  var action = data.action;</t>
  </si>
  <si>
    <t xml:space="preserve">  </t>
  </si>
  <si>
    <t xml:space="preserve">  var cols = [</t>
  </si>
  <si>
    <t xml:space="preserve">    card.id, card.name, card.phone, card.region, card.btype,</t>
  </si>
  <si>
    <t xml:space="preserve">    card.floors, card.service, COLS[card.col] || card.col,</t>
  </si>
  <si>
    <t xml:space="preserve">    card.priority ? card.priority.toUpperCase() : "",</t>
  </si>
  <si>
    <t xml:space="preserve">    card.action, RESULTS[card.result] || "", card.rep,</t>
  </si>
  <si>
    <t xml:space="preserve">    parseFloat(card.value) || 0</t>
  </si>
  <si>
    <t xml:space="preserve">  ];</t>
  </si>
  <si>
    <t xml:space="preserve">  if (action === "add") {</t>
  </si>
  <si>
    <t xml:space="preserve">    sheet.appendRow(cols);</t>
  </si>
  <si>
    <t xml:space="preserve">  } else if (action === "update") {</t>
  </si>
  <si>
    <t xml:space="preserve">    var data_range = sheet.getDataRange().getValues();</t>
  </si>
  <si>
    <t xml:space="preserve">    for (var i = 1; i &lt; data_range.length; i++) {</t>
  </si>
  <si>
    <t xml:space="preserve">      if (String(data_range[i][0]) === String(card.id)) {</t>
  </si>
  <si>
    <t xml:space="preserve">        var row = i + 1;</t>
  </si>
  <si>
    <t xml:space="preserve">        for (var j = 0; j &lt; cols.length; j++) {</t>
  </si>
  <si>
    <t xml:space="preserve">          sheet.getRange(row, j + 1).setValue(cols[j]);</t>
  </si>
  <si>
    <t xml:space="preserve">        }</t>
  </si>
  <si>
    <t xml:space="preserve">        break;</t>
  </si>
  <si>
    <t xml:space="preserve">      }</t>
  </si>
  <si>
    <t xml:space="preserve">    }</t>
  </si>
  <si>
    <t xml:space="preserve">  } else if (action === "delete") {</t>
  </si>
  <si>
    <t xml:space="preserve">        sheet.deleteRow(i + 1);</t>
  </si>
  <si>
    <t xml:space="preserve">  }</t>
  </si>
  <si>
    <t xml:space="preserve">  return ContentService.createTextOutput(</t>
  </si>
  <si>
    <t xml:space="preserve">    JSON.stringify({status: "ok"})</t>
  </si>
  <si>
    <t xml:space="preserve">  ).setMimeType(ContentService.MimeType.JSON);</t>
  </si>
  <si>
    <t>}</t>
  </si>
  <si>
    <t>var COLS = {</t>
  </si>
  <si>
    <t xml:space="preserve">  "new": "جديد", "visit": "زيارة ميدانية", "offer": "عرض سعر",</t>
  </si>
  <si>
    <t xml:space="preserve">  "approve": "موافقة", "install": "تركيب", "done": "مكتمل", "lost": "خسرنا"</t>
  </si>
  <si>
    <t>};</t>
  </si>
  <si>
    <t>var RESULTS = {"pos": "إيجابية", "pend": "معلقة", "neg": "سلبية"};</t>
  </si>
  <si>
    <t>function doGet(e) {</t>
  </si>
  <si>
    <t xml:space="preserve">    JSON.stringify({status: "ready"})</t>
  </si>
  <si>
    <t>Khalil</t>
  </si>
  <si>
    <t>Hussam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</si>
</sst>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3"/>
      <color rgb="FF1A4A8A"/>
      <name val="Arial"/>
      <family val="2"/>
    </font>
    <font>
      <b/>
      <sz val="11"/>
      <color rgb="FF6B7A9A"/>
      <name val="Arial"/>
      <family val="2"/>
    </font>
    <font>
      <b/>
      <sz val="14"/>
      <color rgb="FF1A4A8A"/>
      <name val="Arial"/>
      <family val="2"/>
    </font>
    <font>
      <b/>
      <sz val="14"/>
      <color rgb="FF16A34A"/>
      <name val="Arial"/>
      <family val="2"/>
    </font>
    <font>
      <b/>
      <sz val="14"/>
      <color rgb="FFDC2626"/>
      <name val="Arial"/>
      <family val="2"/>
    </font>
    <font>
      <b/>
      <sz val="11"/>
      <color rgb="FFDC2626"/>
      <name val="Arial"/>
      <family val="2"/>
    </font>
    <font>
      <sz val="11"/>
      <color rgb="FFDC2626"/>
      <name val="Arial"/>
      <family val="2"/>
    </font>
    <font>
      <b/>
      <sz val="11"/>
      <color rgb="FFEA7C1A"/>
      <name val="Arial"/>
      <family val="2"/>
    </font>
    <font>
      <sz val="11"/>
      <color rgb="FFEA7C1A"/>
      <name val="Arial"/>
      <family val="2"/>
    </font>
    <font>
      <b/>
      <sz val="11"/>
      <color rgb="FFCA9E00"/>
      <name val="Arial"/>
      <family val="2"/>
    </font>
    <font>
      <sz val="11"/>
      <color rgb="FFCA9E00"/>
      <name val="Arial"/>
      <family val="2"/>
    </font>
    <font>
      <b/>
      <sz val="11"/>
      <color rgb="FF2563C7"/>
      <name val="Arial"/>
      <family val="2"/>
    </font>
    <font>
      <sz val="11"/>
      <color rgb="FF2563C7"/>
      <name val="Arial"/>
      <family val="2"/>
    </font>
    <font>
      <sz val="11"/>
      <color rgb="FF1A2340"/>
      <name val="Arial"/>
      <family val="2"/>
    </font>
    <font>
      <b/>
      <sz val="13"/>
      <color rgb="FFFFFFFF"/>
      <name val="Arial"/>
      <family val="2"/>
    </font>
    <font>
      <sz val="10"/>
      <color rgb="FF1A2340"/>
      <name val="Courier New"/>
      <family val="3"/>
    </font>
    <font>
      <b/>
      <sz val="12"/>
      <color rgb="FFDC2626"/>
      <name val="Arial"/>
      <family val="2"/>
    </font>
    <font>
      <b/>
      <sz val="10"/>
      <color rgb="FF6B7A9A"/>
      <name val="Arial"/>
      <family val="2"/>
    </font>
    <font>
      <b/>
      <sz val="11"/>
      <color rgb="FF1A4A8A"/>
      <name val="Arial"/>
      <family val="2"/>
    </font>
    <font>
      <b/>
      <sz val="12"/>
      <color rgb="FF1A2340"/>
      <name val="Courier New"/>
      <family val="3"/>
    </font>
    <font>
      <b/>
      <sz val="11"/>
      <color rgb="FF7C3AED"/>
      <name val="Arial"/>
      <family val="2"/>
    </font>
    <font>
      <b/>
      <sz val="11"/>
      <color rgb="FF16A34A"/>
      <name val="Arial"/>
      <family val="2"/>
    </font>
    <font>
      <b/>
      <sz val="12"/>
      <color rgb="FF16A34A"/>
      <name val="Arial"/>
      <family val="2"/>
    </font>
    <font>
      <b/>
      <sz val="12"/>
      <color rgb="FF6B7A9A"/>
      <name val="Arial"/>
      <family val="2"/>
    </font>
    <font>
      <b/>
      <sz val="12"/>
      <color rgb="FF1A4A8A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A4A8A"/>
      </patternFill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rgb="FFF0FDF4"/>
      </patternFill>
    </fill>
    <fill>
      <patternFill patternType="solid">
        <fgColor rgb="FFFEF2F2"/>
      </patternFill>
    </fill>
    <fill>
      <patternFill patternType="solid">
        <fgColor rgb="FFFFF7ED"/>
      </patternFill>
    </fill>
    <fill>
      <patternFill patternType="solid">
        <fgColor rgb="FFFEFCE8"/>
      </patternFill>
    </fill>
    <fill>
      <patternFill patternType="solid">
        <fgColor rgb="FFEFF6FF"/>
      </patternFill>
    </fill>
    <fill>
      <patternFill patternType="solid">
        <fgColor rgb="FFF8F9FA"/>
      </patternFill>
    </fill>
    <fill>
      <patternFill patternType="solid">
        <fgColor rgb="FFEEF4FF"/>
      </patternFill>
    </fill>
    <fill>
      <patternFill patternType="solid">
        <fgColor rgb="FFF5F3FF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DDE4F0"/>
      </left>
      <right style="thin">
        <color rgb="FFDDE4F0"/>
      </right>
      <top style="thin">
        <color rgb="FFDDE4F0"/>
      </top>
      <bottom style="thin">
        <color rgb="FFDDE4F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right" vertical="center" wrapText="1"/>
    </xf>
    <xf numFmtId="3" fontId="0" fillId="3" borderId="2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right" vertical="center" wrapText="1"/>
    </xf>
    <xf numFmtId="3" fontId="0" fillId="4" borderId="2" xfId="0" applyNumberFormat="1" applyFill="1" applyBorder="1" applyAlignment="1">
      <alignment horizontal="left" vertical="center"/>
    </xf>
    <xf numFmtId="0" fontId="4" fillId="4" borderId="2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left" vertical="center"/>
    </xf>
    <xf numFmtId="164" fontId="9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center" vertical="center"/>
    </xf>
    <xf numFmtId="3" fontId="11" fillId="7" borderId="2" xfId="0" applyNumberFormat="1" applyFont="1" applyFill="1" applyBorder="1" applyAlignment="1">
      <alignment horizontal="left" vertical="center"/>
    </xf>
    <xf numFmtId="164" fontId="11" fillId="7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right" vertical="center"/>
    </xf>
    <xf numFmtId="0" fontId="13" fillId="8" borderId="2" xfId="0" applyFont="1" applyFill="1" applyBorder="1" applyAlignment="1">
      <alignment horizontal="center" vertical="center"/>
    </xf>
    <xf numFmtId="3" fontId="13" fillId="8" borderId="2" xfId="0" applyNumberFormat="1" applyFont="1" applyFill="1" applyBorder="1" applyAlignment="1">
      <alignment horizontal="left" vertical="center"/>
    </xf>
    <xf numFmtId="164" fontId="13" fillId="8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right" vertical="center"/>
    </xf>
    <xf numFmtId="0" fontId="15" fillId="9" borderId="2" xfId="0" applyFont="1" applyFill="1" applyBorder="1" applyAlignment="1">
      <alignment horizontal="center" vertical="center"/>
    </xf>
    <xf numFmtId="3" fontId="15" fillId="9" borderId="2" xfId="0" applyNumberFormat="1" applyFont="1" applyFill="1" applyBorder="1" applyAlignment="1">
      <alignment horizontal="left" vertical="center"/>
    </xf>
    <xf numFmtId="164" fontId="15" fillId="9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left" vertical="center"/>
    </xf>
    <xf numFmtId="164" fontId="6" fillId="5" borderId="2" xfId="0" applyNumberFormat="1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3" fontId="16" fillId="4" borderId="2" xfId="0" applyNumberFormat="1" applyFont="1" applyFill="1" applyBorder="1" applyAlignment="1">
      <alignment horizontal="center" vertical="center"/>
    </xf>
    <xf numFmtId="164" fontId="16" fillId="4" borderId="2" xfId="0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center" vertical="center"/>
    </xf>
    <xf numFmtId="3" fontId="16" fillId="3" borderId="2" xfId="0" applyNumberFormat="1" applyFont="1" applyFill="1" applyBorder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18" fillId="10" borderId="0" xfId="0" applyFont="1" applyFill="1" applyAlignment="1">
      <alignment horizontal="left" vertical="center"/>
    </xf>
    <xf numFmtId="0" fontId="20" fillId="4" borderId="2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right" vertical="center" wrapText="1"/>
    </xf>
    <xf numFmtId="0" fontId="22" fillId="8" borderId="2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right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right" vertical="center" wrapText="1"/>
    </xf>
    <xf numFmtId="0" fontId="16" fillId="3" borderId="2" xfId="0" applyFont="1" applyFill="1" applyBorder="1" applyAlignment="1">
      <alignment horizontal="right" vertical="center" wrapText="1"/>
    </xf>
    <xf numFmtId="0" fontId="23" fillId="12" borderId="2" xfId="0" applyFont="1" applyFill="1" applyBorder="1" applyAlignment="1">
      <alignment horizontal="right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right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right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right" vertical="center" wrapText="1"/>
    </xf>
    <xf numFmtId="0" fontId="0" fillId="0" borderId="0" xfId="0"/>
    <xf numFmtId="0" fontId="16" fillId="4" borderId="2" xfId="0" applyFont="1" applyFill="1" applyBorder="1" applyAlignment="1">
      <alignment horizontal="right" vertical="center" wrapText="1"/>
    </xf>
    <xf numFmtId="0" fontId="16" fillId="3" borderId="2" xfId="0" applyFont="1" applyFill="1" applyBorder="1" applyAlignment="1">
      <alignment horizontal="right" vertical="center" wrapText="1"/>
    </xf>
    <xf numFmtId="0" fontId="19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7" fillId="4" borderId="0" xfId="0" applyFont="1" applyFill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17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4">
    <dxf>
      <font>
        <b/>
        <color rgb="FF2563C7"/>
      </font>
      <fill>
        <patternFill patternType="solid">
          <bgColor rgb="FFEFF6FF"/>
        </patternFill>
      </fill>
    </dxf>
    <dxf>
      <font>
        <b/>
        <color rgb="FFCA9E00"/>
      </font>
      <fill>
        <patternFill patternType="solid">
          <bgColor rgb="FFFEFCE8"/>
        </patternFill>
      </fill>
    </dxf>
    <dxf>
      <font>
        <b/>
        <color rgb="FFEA7C1A"/>
      </font>
      <fill>
        <patternFill patternType="solid">
          <bgColor rgb="FFFFF7ED"/>
        </patternFill>
      </fill>
    </dxf>
    <dxf>
      <font>
        <b/>
        <color rgb="FFDC2626"/>
      </font>
      <fill>
        <patternFill patternType="solid">
          <bgColor rgb="FFFE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rightToLeft="1" workbookViewId="0">
      <selection activeCell="A9" sqref="A9:XFD11"/>
    </sheetView>
  </sheetViews>
  <sheetFormatPr defaultRowHeight="14.4" x14ac:dyDescent="0.3"/>
  <cols>
    <col min="1" max="1" width="5" customWidth="1"/>
    <col min="2" max="2" width="32" customWidth="1"/>
    <col min="3" max="3" width="18" customWidth="1"/>
    <col min="4" max="5" width="16" customWidth="1"/>
    <col min="6" max="6" width="12" customWidth="1"/>
    <col min="7" max="7" width="16" customWidth="1"/>
    <col min="8" max="8" width="24" customWidth="1"/>
  </cols>
  <sheetData>
    <row r="1" spans="1:8" ht="45" customHeight="1" x14ac:dyDescent="0.3">
      <c r="A1" s="58" t="s">
        <v>0</v>
      </c>
      <c r="B1" s="54"/>
      <c r="C1" s="54"/>
      <c r="D1" s="54"/>
      <c r="E1" s="54"/>
      <c r="F1" s="54"/>
      <c r="G1" s="54"/>
      <c r="H1" s="54"/>
    </row>
    <row r="2" spans="1:8" ht="30" customHeight="1" x14ac:dyDescent="0.3">
      <c r="A2" s="57" t="s">
        <v>1</v>
      </c>
      <c r="B2" s="54"/>
      <c r="C2" s="54"/>
      <c r="D2" s="54"/>
      <c r="E2" s="54"/>
      <c r="F2" s="54"/>
      <c r="G2" s="54"/>
      <c r="H2" s="54"/>
    </row>
    <row r="3" spans="1:8" ht="10.050000000000001" customHeight="1" x14ac:dyDescent="0.3"/>
    <row r="4" spans="1:8" ht="28.05" customHeight="1" x14ac:dyDescent="0.3">
      <c r="A4" s="53" t="s">
        <v>2</v>
      </c>
      <c r="B4" s="54"/>
      <c r="C4" s="54"/>
      <c r="D4" s="54"/>
      <c r="E4" s="54"/>
      <c r="F4" s="54"/>
      <c r="G4" s="54"/>
      <c r="H4" s="54"/>
    </row>
    <row r="5" spans="1:8" ht="34.049999999999997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28.05" customHeight="1" x14ac:dyDescent="0.3">
      <c r="A6" s="39">
        <v>1</v>
      </c>
      <c r="B6" s="40" t="s">
        <v>11</v>
      </c>
      <c r="C6" s="41" t="s">
        <v>11</v>
      </c>
      <c r="D6" s="42" t="s">
        <v>12</v>
      </c>
      <c r="E6" s="43" t="s">
        <v>13</v>
      </c>
      <c r="F6" s="44" t="s">
        <v>14</v>
      </c>
      <c r="G6" s="43" t="s">
        <v>15</v>
      </c>
      <c r="H6" s="43" t="s">
        <v>16</v>
      </c>
    </row>
    <row r="7" spans="1:8" ht="28.05" customHeight="1" x14ac:dyDescent="0.3">
      <c r="A7" s="39">
        <v>2</v>
      </c>
      <c r="B7" s="45" t="s">
        <v>172</v>
      </c>
      <c r="C7" s="41" t="s">
        <v>18</v>
      </c>
      <c r="D7" s="44" t="s">
        <v>19</v>
      </c>
      <c r="E7" s="46" t="s">
        <v>20</v>
      </c>
      <c r="F7" s="44" t="s">
        <v>14</v>
      </c>
      <c r="G7" s="46" t="s">
        <v>15</v>
      </c>
      <c r="H7" s="46"/>
    </row>
    <row r="8" spans="1:8" ht="28.05" customHeight="1" x14ac:dyDescent="0.3">
      <c r="A8" s="39">
        <v>3</v>
      </c>
      <c r="B8" s="40" t="s">
        <v>173</v>
      </c>
      <c r="C8" s="41" t="s">
        <v>18</v>
      </c>
      <c r="D8" s="44" t="s">
        <v>19</v>
      </c>
      <c r="E8" s="43" t="s">
        <v>20</v>
      </c>
      <c r="F8" s="44" t="s">
        <v>14</v>
      </c>
      <c r="G8" s="43" t="s">
        <v>15</v>
      </c>
      <c r="H8" s="43"/>
    </row>
    <row r="10" spans="1:8" ht="13.95" customHeight="1" x14ac:dyDescent="0.3"/>
    <row r="11" spans="1:8" ht="28.05" customHeight="1" x14ac:dyDescent="0.3">
      <c r="A11" s="53" t="s">
        <v>26</v>
      </c>
      <c r="B11" s="54"/>
      <c r="C11" s="54"/>
      <c r="D11" s="54"/>
      <c r="E11" s="54"/>
      <c r="F11" s="54"/>
      <c r="G11" s="54"/>
      <c r="H11" s="54"/>
    </row>
    <row r="12" spans="1:8" ht="30" customHeight="1" x14ac:dyDescent="0.3">
      <c r="A12" s="1" t="s">
        <v>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33</v>
      </c>
    </row>
    <row r="13" spans="1:8" ht="25.95" customHeight="1" x14ac:dyDescent="0.3">
      <c r="A13" s="47" t="s">
        <v>12</v>
      </c>
      <c r="B13" s="48" t="s">
        <v>34</v>
      </c>
      <c r="C13" s="48" t="s">
        <v>34</v>
      </c>
      <c r="D13" s="48" t="s">
        <v>34</v>
      </c>
      <c r="E13" s="48" t="s">
        <v>34</v>
      </c>
      <c r="F13" s="48" t="s">
        <v>34</v>
      </c>
      <c r="G13" s="48" t="s">
        <v>34</v>
      </c>
      <c r="H13" s="48" t="s">
        <v>34</v>
      </c>
    </row>
    <row r="14" spans="1:8" ht="25.95" customHeight="1" x14ac:dyDescent="0.3">
      <c r="A14" s="49" t="s">
        <v>35</v>
      </c>
      <c r="B14" s="48" t="s">
        <v>34</v>
      </c>
      <c r="C14" s="48" t="s">
        <v>34</v>
      </c>
      <c r="D14" s="48" t="s">
        <v>34</v>
      </c>
      <c r="E14" s="48" t="s">
        <v>34</v>
      </c>
      <c r="F14" s="48" t="s">
        <v>34</v>
      </c>
      <c r="G14" s="50" t="s">
        <v>36</v>
      </c>
      <c r="H14" s="50" t="s">
        <v>36</v>
      </c>
    </row>
    <row r="15" spans="1:8" ht="25.95" customHeight="1" x14ac:dyDescent="0.3">
      <c r="A15" s="51" t="s">
        <v>19</v>
      </c>
      <c r="B15" s="48" t="s">
        <v>34</v>
      </c>
      <c r="C15" s="52" t="s">
        <v>37</v>
      </c>
      <c r="D15" s="50" t="s">
        <v>36</v>
      </c>
      <c r="E15" s="52" t="s">
        <v>37</v>
      </c>
      <c r="F15" s="50" t="s">
        <v>36</v>
      </c>
      <c r="G15" s="50" t="s">
        <v>36</v>
      </c>
      <c r="H15" s="50" t="s">
        <v>36</v>
      </c>
    </row>
    <row r="17" spans="1:8" ht="13.95" customHeight="1" x14ac:dyDescent="0.3"/>
    <row r="18" spans="1:8" ht="25.95" customHeight="1" x14ac:dyDescent="0.3">
      <c r="A18" s="59" t="s">
        <v>38</v>
      </c>
      <c r="B18" s="54"/>
      <c r="C18" s="54"/>
      <c r="D18" s="54"/>
      <c r="E18" s="54"/>
      <c r="F18" s="54"/>
      <c r="G18" s="54"/>
      <c r="H18" s="54"/>
    </row>
    <row r="19" spans="1:8" ht="24" customHeight="1" x14ac:dyDescent="0.3">
      <c r="A19" s="55" t="s">
        <v>39</v>
      </c>
      <c r="B19" s="54"/>
      <c r="C19" s="54"/>
      <c r="D19" s="54"/>
      <c r="E19" s="54"/>
      <c r="F19" s="54"/>
      <c r="G19" s="54"/>
      <c r="H19" s="54"/>
    </row>
    <row r="20" spans="1:8" ht="24" customHeight="1" x14ac:dyDescent="0.3">
      <c r="A20" s="56" t="s">
        <v>40</v>
      </c>
      <c r="B20" s="54"/>
      <c r="C20" s="54"/>
      <c r="D20" s="54"/>
      <c r="E20" s="54"/>
      <c r="F20" s="54"/>
      <c r="G20" s="54"/>
      <c r="H20" s="54"/>
    </row>
    <row r="21" spans="1:8" ht="24" customHeight="1" x14ac:dyDescent="0.3">
      <c r="A21" s="55" t="s">
        <v>41</v>
      </c>
      <c r="B21" s="54"/>
      <c r="C21" s="54"/>
      <c r="D21" s="54"/>
      <c r="E21" s="54"/>
      <c r="F21" s="54"/>
      <c r="G21" s="54"/>
      <c r="H21" s="54"/>
    </row>
    <row r="22" spans="1:8" ht="24" customHeight="1" x14ac:dyDescent="0.3">
      <c r="A22" s="56" t="s">
        <v>42</v>
      </c>
      <c r="B22" s="54"/>
      <c r="C22" s="54"/>
      <c r="D22" s="54"/>
      <c r="E22" s="54"/>
      <c r="F22" s="54"/>
      <c r="G22" s="54"/>
      <c r="H22" s="54"/>
    </row>
    <row r="23" spans="1:8" ht="24" customHeight="1" x14ac:dyDescent="0.3">
      <c r="A23" s="55" t="s">
        <v>43</v>
      </c>
      <c r="B23" s="54"/>
      <c r="C23" s="54"/>
      <c r="D23" s="54"/>
      <c r="E23" s="54"/>
      <c r="F23" s="54"/>
      <c r="G23" s="54"/>
      <c r="H23" s="54"/>
    </row>
  </sheetData>
  <mergeCells count="10">
    <mergeCell ref="A2:H2"/>
    <mergeCell ref="A23:H23"/>
    <mergeCell ref="A1:H1"/>
    <mergeCell ref="A18:H18"/>
    <mergeCell ref="A22:H22"/>
    <mergeCell ref="A4:H4"/>
    <mergeCell ref="A21:H21"/>
    <mergeCell ref="A20:H20"/>
    <mergeCell ref="A19:H19"/>
    <mergeCell ref="A11:H11"/>
  </mergeCells>
  <dataValidations count="3">
    <dataValidation type="list" allowBlank="1" sqref="D6:D95" xr:uid="{00000000-0002-0000-0000-000000000000}">
      <formula1>"مدير,مشرف,مندوب"</formula1>
    </dataValidation>
    <dataValidation type="list" allowBlank="1" sqref="E6:E95" xr:uid="{00000000-0002-0000-0000-000001000000}">
      <formula1>"الكل,جدة,الرياض,مكة المكرمة,المدينة المنورة,الدمام,الطائف"</formula1>
    </dataValidation>
    <dataValidation type="list" allowBlank="1" sqref="F6:F95" xr:uid="{00000000-0002-0000-0000-000002000000}">
      <formula1>"نشط ✅,موقوف 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rightToLeft="1" workbookViewId="0">
      <pane ySplit="2" topLeftCell="A3" activePane="bottomLeft" state="frozen"/>
      <selection pane="bottomLeft" sqref="A1:M1"/>
    </sheetView>
  </sheetViews>
  <sheetFormatPr defaultRowHeight="14.4" x14ac:dyDescent="0.3"/>
  <cols>
    <col min="1" max="1" width="12" customWidth="1"/>
    <col min="2" max="2" width="22" customWidth="1"/>
    <col min="3" max="5" width="14" customWidth="1"/>
    <col min="6" max="6" width="10" customWidth="1"/>
    <col min="7" max="7" width="18" customWidth="1"/>
    <col min="8" max="8" width="16" customWidth="1"/>
    <col min="9" max="9" width="12" customWidth="1"/>
    <col min="10" max="10" width="18" customWidth="1"/>
    <col min="11" max="12" width="16" customWidth="1"/>
    <col min="13" max="13" width="18" customWidth="1"/>
  </cols>
  <sheetData>
    <row r="1" spans="1:13" ht="40.049999999999997" customHeight="1" x14ac:dyDescent="0.3">
      <c r="A1" s="58" t="s">
        <v>44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31.95" customHeight="1" x14ac:dyDescent="0.3">
      <c r="A2" s="1" t="s">
        <v>45</v>
      </c>
      <c r="B2" s="1" t="s">
        <v>46</v>
      </c>
      <c r="C2" s="1" t="s">
        <v>47</v>
      </c>
      <c r="D2" s="1" t="s">
        <v>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</row>
    <row r="3" spans="1:13" x14ac:dyDescent="0.3">
      <c r="A3" s="2" t="s">
        <v>57</v>
      </c>
      <c r="B3" s="2" t="s">
        <v>58</v>
      </c>
      <c r="C3" s="2" t="s">
        <v>59</v>
      </c>
      <c r="D3" s="2" t="s">
        <v>20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63</v>
      </c>
      <c r="K3" s="2" t="s">
        <v>65</v>
      </c>
      <c r="L3" s="2" t="s">
        <v>17</v>
      </c>
      <c r="M3" s="3">
        <v>120000</v>
      </c>
    </row>
    <row r="4" spans="1:13" x14ac:dyDescent="0.3">
      <c r="A4" s="4" t="s">
        <v>66</v>
      </c>
      <c r="B4" s="4" t="s">
        <v>67</v>
      </c>
      <c r="C4" s="4" t="s">
        <v>68</v>
      </c>
      <c r="D4" s="4" t="s">
        <v>22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  <c r="K4" s="4" t="s">
        <v>75</v>
      </c>
      <c r="L4" s="4" t="s">
        <v>21</v>
      </c>
      <c r="M4" s="5">
        <v>280000</v>
      </c>
    </row>
    <row r="5" spans="1:13" x14ac:dyDescent="0.3">
      <c r="A5" s="2" t="s">
        <v>76</v>
      </c>
      <c r="B5" s="2" t="s">
        <v>77</v>
      </c>
      <c r="C5" s="2" t="s">
        <v>78</v>
      </c>
      <c r="D5" s="2" t="s">
        <v>24</v>
      </c>
      <c r="E5" s="2" t="s">
        <v>79</v>
      </c>
      <c r="F5" s="2" t="s">
        <v>80</v>
      </c>
      <c r="G5" s="2" t="s">
        <v>62</v>
      </c>
      <c r="H5" s="2" t="s">
        <v>81</v>
      </c>
      <c r="I5" s="2" t="s">
        <v>82</v>
      </c>
      <c r="J5" s="2" t="s">
        <v>83</v>
      </c>
      <c r="K5" s="2" t="s">
        <v>75</v>
      </c>
      <c r="L5" s="2" t="s">
        <v>23</v>
      </c>
      <c r="M5" s="3">
        <v>65000</v>
      </c>
    </row>
    <row r="6" spans="1:13" x14ac:dyDescent="0.3">
      <c r="A6" s="4" t="s">
        <v>84</v>
      </c>
      <c r="B6" s="4" t="s">
        <v>85</v>
      </c>
      <c r="C6" s="4" t="s">
        <v>86</v>
      </c>
      <c r="D6" s="4" t="s">
        <v>87</v>
      </c>
      <c r="E6" s="4" t="s">
        <v>88</v>
      </c>
      <c r="F6" s="4" t="s">
        <v>89</v>
      </c>
      <c r="G6" s="4" t="s">
        <v>90</v>
      </c>
      <c r="H6" s="4" t="s">
        <v>91</v>
      </c>
      <c r="I6" s="4" t="s">
        <v>64</v>
      </c>
      <c r="J6" s="4" t="s">
        <v>92</v>
      </c>
      <c r="K6" s="4" t="s">
        <v>65</v>
      </c>
      <c r="L6" s="4" t="s">
        <v>25</v>
      </c>
      <c r="M6" s="5">
        <v>90000</v>
      </c>
    </row>
    <row r="7" spans="1:13" x14ac:dyDescent="0.3">
      <c r="A7" s="2" t="s">
        <v>93</v>
      </c>
      <c r="B7" s="2" t="s">
        <v>94</v>
      </c>
      <c r="C7" s="2" t="s">
        <v>95</v>
      </c>
      <c r="D7" s="2" t="s">
        <v>20</v>
      </c>
      <c r="E7" s="2" t="s">
        <v>69</v>
      </c>
      <c r="F7" s="2" t="s">
        <v>96</v>
      </c>
      <c r="G7" s="2" t="s">
        <v>62</v>
      </c>
      <c r="H7" s="2" t="s">
        <v>97</v>
      </c>
      <c r="I7" s="2" t="s">
        <v>98</v>
      </c>
      <c r="J7" s="2" t="s">
        <v>99</v>
      </c>
      <c r="K7" s="2" t="s">
        <v>75</v>
      </c>
      <c r="L7" s="2" t="s">
        <v>17</v>
      </c>
      <c r="M7" s="3">
        <v>150000</v>
      </c>
    </row>
    <row r="8" spans="1:13" x14ac:dyDescent="0.3">
      <c r="A8" s="4" t="s">
        <v>100</v>
      </c>
      <c r="B8" s="4" t="s">
        <v>101</v>
      </c>
      <c r="C8" s="4" t="s">
        <v>102</v>
      </c>
      <c r="D8" s="4" t="s">
        <v>20</v>
      </c>
      <c r="E8" s="4" t="s">
        <v>103</v>
      </c>
      <c r="F8" s="4" t="s">
        <v>104</v>
      </c>
      <c r="G8" s="4" t="s">
        <v>71</v>
      </c>
      <c r="H8" s="4" t="s">
        <v>81</v>
      </c>
      <c r="I8" s="4" t="s">
        <v>73</v>
      </c>
      <c r="J8" s="4" t="s">
        <v>105</v>
      </c>
      <c r="K8" s="4" t="s">
        <v>65</v>
      </c>
      <c r="L8" s="4" t="s">
        <v>21</v>
      </c>
      <c r="M8" s="5">
        <v>200000</v>
      </c>
    </row>
  </sheetData>
  <mergeCells count="1">
    <mergeCell ref="A1:M1"/>
  </mergeCells>
  <conditionalFormatting sqref="I3:I1000">
    <cfRule type="containsText" dxfId="3" priority="1" operator="containsText" text="P1">
      <formula>NOT(ISERROR(SEARCH("P1",I3)))</formula>
    </cfRule>
    <cfRule type="containsText" dxfId="2" priority="2" operator="containsText" text="P2">
      <formula>NOT(ISERROR(SEARCH("P2",I3)))</formula>
    </cfRule>
    <cfRule type="containsText" dxfId="1" priority="3" operator="containsText" text="P3">
      <formula>NOT(ISERROR(SEARCH("P3",I3)))</formula>
    </cfRule>
    <cfRule type="containsText" dxfId="0" priority="4" operator="containsText" text="P4">
      <formula>NOT(ISERROR(SEARCH("P4",I3)))</formula>
    </cfRule>
  </conditionalFormatting>
  <dataValidations count="8">
    <dataValidation type="list" allowBlank="1" showErrorMessage="1" sqref="D3:D1000" xr:uid="{00000000-0002-0000-0100-000000000000}">
      <formula1>"جدة,الرياض,مكة المكرمة,المدينة المنورة,الدمام,الطائف,أخرى"</formula1>
    </dataValidation>
    <dataValidation type="list" allowBlank="1" showErrorMessage="1" sqref="E3:E1000" xr:uid="{00000000-0002-0000-0100-000001000000}">
      <formula1>"سكني,تجاري,طبي,حكومي,فندقي"</formula1>
    </dataValidation>
    <dataValidation type="list" allowBlank="1" showErrorMessage="1" sqref="G3:G1000" xr:uid="{00000000-0002-0000-0100-000002000000}">
      <formula1>"تركيب مصعد جديد,صيانة مصاعد,تجديد مصعد"</formula1>
    </dataValidation>
    <dataValidation type="list" allowBlank="1" showErrorMessage="1" sqref="H3:H1000" xr:uid="{00000000-0002-0000-0100-000003000000}">
      <formula1>"جديد,زيارة ميدانية,عرض سعر,موافقة,تركيب,مكتمل,خسرنا"</formula1>
    </dataValidation>
    <dataValidation type="list" allowBlank="1" showErrorMessage="1" sqref="I3:I1000" xr:uid="{00000000-0002-0000-0100-000004000000}">
      <formula1>"P1,P2,P3,P4"</formula1>
    </dataValidation>
    <dataValidation type="list" allowBlank="1" showErrorMessage="1" sqref="J3:J1000" xr:uid="{00000000-0002-0000-0100-000005000000}">
      <formula1>"زيارة ميدانية,اتصال هاتفي,تقديم عرض سعر,مفاوضة,إرسال عرض مُعدَّل,إغلاق العقد"</formula1>
    </dataValidation>
    <dataValidation type="list" allowBlank="1" showErrorMessage="1" sqref="K3:K1000" xr:uid="{00000000-0002-0000-0100-000006000000}">
      <formula1>"إيجابية,معلقة,سلبية"</formula1>
    </dataValidation>
    <dataValidation type="list" allowBlank="1" showErrorMessage="1" sqref="L3:L1000" xr:uid="{00000000-0002-0000-0100-000007000000}">
      <formula1>"أحمد السعيد,محمد العمري,خالد الزهراني,سارة المالكي"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rightToLeft="1" workbookViewId="0">
      <selection sqref="A1:H1"/>
    </sheetView>
  </sheetViews>
  <sheetFormatPr defaultRowHeight="14.4" x14ac:dyDescent="0.3"/>
  <cols>
    <col min="1" max="2" width="22" customWidth="1"/>
    <col min="4" max="8" width="18" customWidth="1"/>
  </cols>
  <sheetData>
    <row r="1" spans="1:8" ht="45" customHeight="1" x14ac:dyDescent="0.3">
      <c r="A1" s="58" t="s">
        <v>106</v>
      </c>
      <c r="B1" s="54"/>
      <c r="C1" s="54"/>
      <c r="D1" s="54"/>
      <c r="E1" s="54"/>
      <c r="F1" s="54"/>
      <c r="G1" s="54"/>
      <c r="H1" s="54"/>
    </row>
    <row r="3" spans="1:8" ht="28.05" customHeight="1" x14ac:dyDescent="0.3">
      <c r="A3" s="60" t="s">
        <v>107</v>
      </c>
      <c r="B3" s="54"/>
      <c r="C3" s="54"/>
      <c r="D3" s="60" t="s">
        <v>108</v>
      </c>
      <c r="E3" s="54"/>
      <c r="F3" s="54"/>
      <c r="G3" s="54"/>
      <c r="H3" s="54"/>
    </row>
    <row r="4" spans="1:8" ht="30" customHeight="1" x14ac:dyDescent="0.3">
      <c r="A4" s="6" t="s">
        <v>109</v>
      </c>
      <c r="B4" s="7">
        <f>COUNTA(الفرص!B3:B1000)</f>
        <v>6</v>
      </c>
      <c r="D4" s="1" t="s">
        <v>52</v>
      </c>
      <c r="E4" s="1" t="s">
        <v>110</v>
      </c>
      <c r="F4" s="1" t="s">
        <v>111</v>
      </c>
      <c r="G4" s="1" t="s">
        <v>112</v>
      </c>
      <c r="H4" s="1" t="s">
        <v>113</v>
      </c>
    </row>
    <row r="5" spans="1:8" ht="28.05" customHeight="1" x14ac:dyDescent="0.3">
      <c r="A5" s="6" t="s">
        <v>114</v>
      </c>
      <c r="B5" s="7">
        <f>COUNTIFS(الفرص!H3:H1000,"&lt;&gt;خسرنا",الفرص!H3:H1000,"&lt;&gt;")</f>
        <v>6</v>
      </c>
      <c r="D5" s="8" t="s">
        <v>115</v>
      </c>
      <c r="E5" s="9">
        <f>COUNTIF(الفرص!I$3:'الفرص'!I$1000,"P1")</f>
        <v>2</v>
      </c>
      <c r="F5" s="10">
        <f>SUMIF(الفرص!I$3:'الفرص'!I$1000,"P1",الفرص!M$3:'الفرص'!M$1000)</f>
        <v>210000</v>
      </c>
      <c r="G5" s="11">
        <f t="shared" ref="G5:H8" si="0">IFERROR(E5/SUM(E$5:E$8),0)</f>
        <v>0.33333333333333331</v>
      </c>
      <c r="H5" s="11">
        <f t="shared" si="0"/>
        <v>0.23204419889502761</v>
      </c>
    </row>
    <row r="6" spans="1:8" ht="28.05" customHeight="1" x14ac:dyDescent="0.3">
      <c r="A6" s="6" t="s">
        <v>116</v>
      </c>
      <c r="B6" s="12">
        <f>COUNTIF(الفرص!H3:H1000,"مكتمل")</f>
        <v>1</v>
      </c>
      <c r="D6" s="13" t="s">
        <v>117</v>
      </c>
      <c r="E6" s="14">
        <f>COUNTIF(الفرص!I$3:'الفرص'!I$1000,"P2")</f>
        <v>2</v>
      </c>
      <c r="F6" s="15">
        <f>SUMIF(الفرص!I$3:'الفرص'!I$1000,"P2",الفرص!M$3:'الفرص'!M$1000)</f>
        <v>480000</v>
      </c>
      <c r="G6" s="16">
        <f t="shared" si="0"/>
        <v>0.33333333333333331</v>
      </c>
      <c r="H6" s="16">
        <f t="shared" si="0"/>
        <v>0.53038674033149169</v>
      </c>
    </row>
    <row r="7" spans="1:8" ht="28.05" customHeight="1" x14ac:dyDescent="0.3">
      <c r="A7" s="6" t="s">
        <v>118</v>
      </c>
      <c r="B7" s="17">
        <f>COUNTIF(الفرص!I3:I1000,"P1")</f>
        <v>2</v>
      </c>
      <c r="D7" s="18" t="s">
        <v>119</v>
      </c>
      <c r="E7" s="19">
        <f>COUNTIF(الفرص!I$3:'الفرص'!I$1000,"P3")</f>
        <v>1</v>
      </c>
      <c r="F7" s="20">
        <f>SUMIF(الفرص!I$3:'الفرص'!I$1000,"P3",الفرص!M$3:'الفرص'!M$1000)</f>
        <v>65000</v>
      </c>
      <c r="G7" s="21">
        <f t="shared" si="0"/>
        <v>0.16666666666666666</v>
      </c>
      <c r="H7" s="21">
        <f t="shared" si="0"/>
        <v>7.18232044198895E-2</v>
      </c>
    </row>
    <row r="8" spans="1:8" ht="28.05" customHeight="1" x14ac:dyDescent="0.3">
      <c r="A8" s="6" t="s">
        <v>120</v>
      </c>
      <c r="B8" s="22">
        <f>SUMIF(الفرص!H3:H1000,"&lt;&gt;خسرنا",الفرص!M3:M1000)</f>
        <v>905000</v>
      </c>
      <c r="D8" s="23" t="s">
        <v>121</v>
      </c>
      <c r="E8" s="24">
        <f>COUNTIF(الفرص!I$3:'الفرص'!I$1000,"P4")</f>
        <v>1</v>
      </c>
      <c r="F8" s="25">
        <f>SUMIF(الفرص!I$3:'الفرص'!I$1000,"P4",الفرص!M$3:'الفرص'!M$1000)</f>
        <v>150000</v>
      </c>
      <c r="G8" s="26">
        <f t="shared" si="0"/>
        <v>0.16666666666666666</v>
      </c>
      <c r="H8" s="26">
        <f t="shared" si="0"/>
        <v>0.16574585635359115</v>
      </c>
    </row>
    <row r="9" spans="1:8" ht="30" customHeight="1" x14ac:dyDescent="0.3">
      <c r="A9" s="6" t="s">
        <v>122</v>
      </c>
      <c r="B9" s="27">
        <f>SUMIF(الفرص!H3:H1000,"مكتمل",الفرص!M3:M1000)</f>
        <v>90000</v>
      </c>
    </row>
    <row r="10" spans="1:8" ht="30" customHeight="1" x14ac:dyDescent="0.3">
      <c r="A10" s="6" t="s">
        <v>123</v>
      </c>
      <c r="B10" s="28">
        <f>IFERROR(COUNTIF(الفرص!H3:H1000,"مكتمل")/(COUNTIF(الفرص!H3:H1000,"مكتمل")+COUNTIF(الفرص!H3:H1000,"خسرنا")),0)</f>
        <v>1</v>
      </c>
    </row>
    <row r="11" spans="1:8" ht="30" customHeight="1" x14ac:dyDescent="0.3">
      <c r="A11" s="6" t="s">
        <v>124</v>
      </c>
      <c r="B11" s="22">
        <f>IFERROR(AVERAGEIF(الفرص!H3:H1000,"&lt;&gt;خسرنا",الفرص!M3:M1000),0)</f>
        <v>150833.33333333334</v>
      </c>
    </row>
    <row r="14" spans="1:8" ht="28.05" customHeight="1" x14ac:dyDescent="0.3">
      <c r="A14" s="60" t="s">
        <v>125</v>
      </c>
      <c r="B14" s="54"/>
      <c r="C14" s="54"/>
      <c r="D14" s="54"/>
      <c r="E14" s="54"/>
      <c r="F14" s="54"/>
      <c r="G14" s="54"/>
      <c r="H14" s="54"/>
    </row>
    <row r="15" spans="1:8" x14ac:dyDescent="0.3">
      <c r="A15" s="1" t="s">
        <v>55</v>
      </c>
      <c r="B15" s="1" t="s">
        <v>109</v>
      </c>
      <c r="C15" s="1" t="s">
        <v>126</v>
      </c>
      <c r="D15" s="1" t="s">
        <v>75</v>
      </c>
      <c r="E15" s="1" t="s">
        <v>127</v>
      </c>
      <c r="F15" s="1" t="s">
        <v>128</v>
      </c>
      <c r="G15" s="1" t="s">
        <v>129</v>
      </c>
      <c r="H15" s="1" t="s">
        <v>123</v>
      </c>
    </row>
    <row r="16" spans="1:8" ht="25.95" customHeight="1" x14ac:dyDescent="0.3">
      <c r="A16" s="29" t="s">
        <v>17</v>
      </c>
      <c r="B16" s="30">
        <f>COUNTIF(الفرص!L$3:'الفرص'!L$1000,A16)</f>
        <v>2</v>
      </c>
      <c r="C16" s="30">
        <f>COUNTIFS(الفرص!L$3:'الفرص'!L$1000,A16,الفرص!H$3:'الفرص'!H$1000,"مكتمل")</f>
        <v>0</v>
      </c>
      <c r="D16" s="30">
        <f>COUNTIFS(الفرص!L$3:'الفرص'!L$1000,A16,الفرص!H$3:'الفرص'!H$1000,"&lt;&gt;مكتمل",الفرص!H$3:'الفرص'!H$1000,"&lt;&gt;خسرنا",الفرص!H$3:'الفرص'!H$1000,"&lt;&gt;")</f>
        <v>2</v>
      </c>
      <c r="E16" s="30">
        <f>COUNTIFS(الفرص!L$3:'الفرص'!L$1000,A16,الفرص!H$3:'الفرص'!H$1000,"خسرنا")</f>
        <v>0</v>
      </c>
      <c r="F16" s="31">
        <f>SUMIFS(الفرص!M$3:'الفرص'!M$1000,الفرص!L$3:'الفرص'!L$1000,A16,الفرص!H$3:'الفرص'!H$1000,"&lt;&gt;خسرنا")</f>
        <v>270000</v>
      </c>
      <c r="G16" s="31">
        <f>SUMIFS(الفرص!M$3:'الفرص'!M$1000,الفرص!L$3:'الفرص'!L$1000,A16,الفرص!H$3:'الفرص'!H$1000,"مكتمل")</f>
        <v>0</v>
      </c>
      <c r="H16" s="32">
        <f>IFERROR(C16/(C16+E16),0)</f>
        <v>0</v>
      </c>
    </row>
    <row r="17" spans="1:8" ht="25.95" customHeight="1" x14ac:dyDescent="0.3">
      <c r="A17" s="33" t="s">
        <v>21</v>
      </c>
      <c r="B17" s="34">
        <f>COUNTIF(الفرص!L$3:'الفرص'!L$1000,A17)</f>
        <v>2</v>
      </c>
      <c r="C17" s="34">
        <f>COUNTIFS(الفرص!L$3:'الفرص'!L$1000,A17,الفرص!H$3:'الفرص'!H$1000,"مكتمل")</f>
        <v>0</v>
      </c>
      <c r="D17" s="34">
        <f>COUNTIFS(الفرص!L$3:'الفرص'!L$1000,A17,الفرص!H$3:'الفرص'!H$1000,"&lt;&gt;مكتمل",الفرص!H$3:'الفرص'!H$1000,"&lt;&gt;خسرنا",الفرص!H$3:'الفرص'!H$1000,"&lt;&gt;")</f>
        <v>2</v>
      </c>
      <c r="E17" s="34">
        <f>COUNTIFS(الفرص!L$3:'الفرص'!L$1000,A17,الفرص!H$3:'الفرص'!H$1000,"خسرنا")</f>
        <v>0</v>
      </c>
      <c r="F17" s="35">
        <f>SUMIFS(الفرص!M$3:'الفرص'!M$1000,الفرص!L$3:'الفرص'!L$1000,A17,الفرص!H$3:'الفرص'!H$1000,"&lt;&gt;خسرنا")</f>
        <v>480000</v>
      </c>
      <c r="G17" s="35">
        <f>SUMIFS(الفرص!M$3:'الفرص'!M$1000,الفرص!L$3:'الفرص'!L$1000,A17,الفرص!H$3:'الفرص'!H$1000,"مكتمل")</f>
        <v>0</v>
      </c>
      <c r="H17" s="36">
        <f>IFERROR(C17/(C17+E17),0)</f>
        <v>0</v>
      </c>
    </row>
    <row r="18" spans="1:8" ht="25.95" customHeight="1" x14ac:dyDescent="0.3">
      <c r="A18" s="29" t="s">
        <v>23</v>
      </c>
      <c r="B18" s="30">
        <f>COUNTIF(الفرص!L$3:'الفرص'!L$1000,A18)</f>
        <v>1</v>
      </c>
      <c r="C18" s="30">
        <f>COUNTIFS(الفرص!L$3:'الفرص'!L$1000,A18,الفرص!H$3:'الفرص'!H$1000,"مكتمل")</f>
        <v>0</v>
      </c>
      <c r="D18" s="30">
        <f>COUNTIFS(الفرص!L$3:'الفرص'!L$1000,A18,الفرص!H$3:'الفرص'!H$1000,"&lt;&gt;مكتمل",الفرص!H$3:'الفرص'!H$1000,"&lt;&gt;خسرنا",الفرص!H$3:'الفرص'!H$1000,"&lt;&gt;")</f>
        <v>1</v>
      </c>
      <c r="E18" s="30">
        <f>COUNTIFS(الفرص!L$3:'الفرص'!L$1000,A18,الفرص!H$3:'الفرص'!H$1000,"خسرنا")</f>
        <v>0</v>
      </c>
      <c r="F18" s="31">
        <f>SUMIFS(الفرص!M$3:'الفرص'!M$1000,الفرص!L$3:'الفرص'!L$1000,A18,الفرص!H$3:'الفرص'!H$1000,"&lt;&gt;خسرنا")</f>
        <v>65000</v>
      </c>
      <c r="G18" s="31">
        <f>SUMIFS(الفرص!M$3:'الفرص'!M$1000,الفرص!L$3:'الفرص'!L$1000,A18,الفرص!H$3:'الفرص'!H$1000,"مكتمل")</f>
        <v>0</v>
      </c>
      <c r="H18" s="32">
        <f>IFERROR(C18/(C18+E18),0)</f>
        <v>0</v>
      </c>
    </row>
    <row r="19" spans="1:8" ht="25.95" customHeight="1" x14ac:dyDescent="0.3">
      <c r="A19" s="33" t="s">
        <v>25</v>
      </c>
      <c r="B19" s="34">
        <f>COUNTIF(الفرص!L$3:'الفرص'!L$1000,A19)</f>
        <v>1</v>
      </c>
      <c r="C19" s="34">
        <f>COUNTIFS(الفرص!L$3:'الفرص'!L$1000,A19,الفرص!H$3:'الفرص'!H$1000,"مكتمل")</f>
        <v>1</v>
      </c>
      <c r="D19" s="34">
        <f>COUNTIFS(الفرص!L$3:'الفرص'!L$1000,A19,الفرص!H$3:'الفرص'!H$1000,"&lt;&gt;مكتمل",الفرص!H$3:'الفرص'!H$1000,"&lt;&gt;خسرنا",الفرص!H$3:'الفرص'!H$1000,"&lt;&gt;")</f>
        <v>0</v>
      </c>
      <c r="E19" s="34">
        <f>COUNTIFS(الفرص!L$3:'الفرص'!L$1000,A19,الفرص!H$3:'الفرص'!H$1000,"خسرنا")</f>
        <v>0</v>
      </c>
      <c r="F19" s="35">
        <f>SUMIFS(الفرص!M$3:'الفرص'!M$1000,الفرص!L$3:'الفرص'!L$1000,A19,الفرص!H$3:'الفرص'!H$1000,"&lt;&gt;خسرنا")</f>
        <v>90000</v>
      </c>
      <c r="G19" s="35">
        <f>SUMIFS(الفرص!M$3:'الفرص'!M$1000,الفرص!L$3:'الفرص'!L$1000,A19,الفرص!H$3:'الفرص'!H$1000,"مكتمل")</f>
        <v>90000</v>
      </c>
      <c r="H19" s="36">
        <f>IFERROR(C19/(C19+E19),0)</f>
        <v>1</v>
      </c>
    </row>
  </sheetData>
  <mergeCells count="4">
    <mergeCell ref="A14:H14"/>
    <mergeCell ref="A3:C3"/>
    <mergeCell ref="D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6"/>
  <sheetViews>
    <sheetView rightToLeft="1" tabSelected="1" topLeftCell="A48" workbookViewId="0">
      <selection activeCell="C58" sqref="C58"/>
    </sheetView>
  </sheetViews>
  <sheetFormatPr defaultRowHeight="14.4" x14ac:dyDescent="0.3"/>
  <cols>
    <col min="1" max="1" width="100" customWidth="1"/>
  </cols>
  <sheetData>
    <row r="1" spans="1:1" ht="40.049999999999997" customHeight="1" x14ac:dyDescent="0.3">
      <c r="A1" s="61" t="s">
        <v>130</v>
      </c>
    </row>
    <row r="2" spans="1:1" x14ac:dyDescent="0.3">
      <c r="A2" s="54"/>
    </row>
    <row r="3" spans="1:1" ht="18" customHeight="1" x14ac:dyDescent="0.3">
      <c r="A3" s="37" t="s">
        <v>131</v>
      </c>
    </row>
    <row r="4" spans="1:1" ht="18" customHeight="1" x14ac:dyDescent="0.3">
      <c r="A4" s="38" t="s">
        <v>132</v>
      </c>
    </row>
    <row r="5" spans="1:1" ht="18" customHeight="1" x14ac:dyDescent="0.3">
      <c r="A5" s="37" t="s">
        <v>133</v>
      </c>
    </row>
    <row r="6" spans="1:1" ht="18" customHeight="1" x14ac:dyDescent="0.3">
      <c r="A6" s="38" t="s">
        <v>134</v>
      </c>
    </row>
    <row r="7" spans="1:1" ht="18" customHeight="1" x14ac:dyDescent="0.3">
      <c r="A7" s="37" t="s">
        <v>135</v>
      </c>
    </row>
    <row r="8" spans="1:1" ht="18" customHeight="1" x14ac:dyDescent="0.3">
      <c r="A8" s="38" t="s">
        <v>136</v>
      </c>
    </row>
    <row r="9" spans="1:1" ht="18" customHeight="1" x14ac:dyDescent="0.3">
      <c r="A9" s="37" t="s">
        <v>137</v>
      </c>
    </row>
    <row r="10" spans="1:1" ht="18" customHeight="1" x14ac:dyDescent="0.3">
      <c r="A10" s="38" t="s">
        <v>138</v>
      </c>
    </row>
    <row r="11" spans="1:1" ht="18" customHeight="1" x14ac:dyDescent="0.3">
      <c r="A11" s="37" t="s">
        <v>139</v>
      </c>
    </row>
    <row r="12" spans="1:1" ht="18" customHeight="1" x14ac:dyDescent="0.3">
      <c r="A12" s="38" t="s">
        <v>140</v>
      </c>
    </row>
    <row r="13" spans="1:1" ht="18" customHeight="1" x14ac:dyDescent="0.3">
      <c r="A13" s="37" t="s">
        <v>141</v>
      </c>
    </row>
    <row r="14" spans="1:1" ht="18" customHeight="1" x14ac:dyDescent="0.3">
      <c r="A14" s="38" t="s">
        <v>142</v>
      </c>
    </row>
    <row r="15" spans="1:1" ht="18" customHeight="1" x14ac:dyDescent="0.3">
      <c r="A15" s="37" t="s">
        <v>143</v>
      </c>
    </row>
    <row r="16" spans="1:1" ht="18" customHeight="1" x14ac:dyDescent="0.3">
      <c r="A16" s="38" t="s">
        <v>144</v>
      </c>
    </row>
    <row r="17" spans="1:1" ht="18" customHeight="1" x14ac:dyDescent="0.3">
      <c r="A17" s="37" t="s">
        <v>137</v>
      </c>
    </row>
    <row r="18" spans="1:1" ht="18" customHeight="1" x14ac:dyDescent="0.3">
      <c r="A18" s="38" t="s">
        <v>145</v>
      </c>
    </row>
    <row r="19" spans="1:1" ht="18" customHeight="1" x14ac:dyDescent="0.3">
      <c r="A19" s="37" t="s">
        <v>146</v>
      </c>
    </row>
    <row r="20" spans="1:1" ht="18" customHeight="1" x14ac:dyDescent="0.3">
      <c r="A20" s="38" t="s">
        <v>147</v>
      </c>
    </row>
    <row r="21" spans="1:1" ht="18" customHeight="1" x14ac:dyDescent="0.3">
      <c r="A21" s="37" t="s">
        <v>148</v>
      </c>
    </row>
    <row r="22" spans="1:1" ht="18" customHeight="1" x14ac:dyDescent="0.3">
      <c r="A22" s="38" t="s">
        <v>149</v>
      </c>
    </row>
    <row r="23" spans="1:1" ht="18" customHeight="1" x14ac:dyDescent="0.3">
      <c r="A23" s="37" t="s">
        <v>150</v>
      </c>
    </row>
    <row r="24" spans="1:1" ht="18" customHeight="1" x14ac:dyDescent="0.3">
      <c r="A24" s="38" t="s">
        <v>151</v>
      </c>
    </row>
    <row r="25" spans="1:1" ht="18" customHeight="1" x14ac:dyDescent="0.3">
      <c r="A25" s="37" t="s">
        <v>152</v>
      </c>
    </row>
    <row r="26" spans="1:1" ht="18" customHeight="1" x14ac:dyDescent="0.3">
      <c r="A26" s="38" t="s">
        <v>153</v>
      </c>
    </row>
    <row r="27" spans="1:1" ht="18" customHeight="1" x14ac:dyDescent="0.3">
      <c r="A27" s="37" t="s">
        <v>154</v>
      </c>
    </row>
    <row r="28" spans="1:1" ht="18" customHeight="1" x14ac:dyDescent="0.3">
      <c r="A28" s="38" t="s">
        <v>155</v>
      </c>
    </row>
    <row r="29" spans="1:1" ht="18" customHeight="1" x14ac:dyDescent="0.3">
      <c r="A29" s="37" t="s">
        <v>156</v>
      </c>
    </row>
    <row r="30" spans="1:1" ht="18" customHeight="1" x14ac:dyDescent="0.3">
      <c r="A30" s="38" t="s">
        <v>157</v>
      </c>
    </row>
    <row r="31" spans="1:1" ht="18" customHeight="1" x14ac:dyDescent="0.3">
      <c r="A31" s="37" t="s">
        <v>158</v>
      </c>
    </row>
    <row r="32" spans="1:1" ht="18" customHeight="1" x14ac:dyDescent="0.3">
      <c r="A32" s="38" t="s">
        <v>148</v>
      </c>
    </row>
    <row r="33" spans="1:1" ht="18" customHeight="1" x14ac:dyDescent="0.3">
      <c r="A33" s="37" t="s">
        <v>149</v>
      </c>
    </row>
    <row r="34" spans="1:1" ht="18" customHeight="1" x14ac:dyDescent="0.3">
      <c r="A34" s="38" t="s">
        <v>150</v>
      </c>
    </row>
    <row r="35" spans="1:1" ht="18" customHeight="1" x14ac:dyDescent="0.3">
      <c r="A35" s="37" t="s">
        <v>159</v>
      </c>
    </row>
    <row r="36" spans="1:1" ht="18" customHeight="1" x14ac:dyDescent="0.3">
      <c r="A36" s="38" t="s">
        <v>155</v>
      </c>
    </row>
    <row r="37" spans="1:1" ht="18" customHeight="1" x14ac:dyDescent="0.3">
      <c r="A37" s="37" t="s">
        <v>156</v>
      </c>
    </row>
    <row r="38" spans="1:1" ht="18" customHeight="1" x14ac:dyDescent="0.3">
      <c r="A38" s="38" t="s">
        <v>157</v>
      </c>
    </row>
    <row r="39" spans="1:1" ht="18" customHeight="1" x14ac:dyDescent="0.3">
      <c r="A39" s="37" t="s">
        <v>160</v>
      </c>
    </row>
    <row r="40" spans="1:1" ht="18" customHeight="1" x14ac:dyDescent="0.3">
      <c r="A40" s="38" t="s">
        <v>137</v>
      </c>
    </row>
    <row r="41" spans="1:1" ht="18" customHeight="1" x14ac:dyDescent="0.3">
      <c r="A41" s="37" t="s">
        <v>161</v>
      </c>
    </row>
    <row r="42" spans="1:1" ht="18" customHeight="1" x14ac:dyDescent="0.3">
      <c r="A42" s="38" t="s">
        <v>162</v>
      </c>
    </row>
    <row r="43" spans="1:1" ht="18" customHeight="1" x14ac:dyDescent="0.3">
      <c r="A43" s="37" t="s">
        <v>163</v>
      </c>
    </row>
    <row r="44" spans="1:1" ht="18" customHeight="1" x14ac:dyDescent="0.3">
      <c r="A44" s="38" t="s">
        <v>164</v>
      </c>
    </row>
    <row r="45" spans="1:1" ht="18" customHeight="1" x14ac:dyDescent="0.3">
      <c r="A45" s="37"/>
    </row>
    <row r="46" spans="1:1" ht="18" customHeight="1" x14ac:dyDescent="0.3">
      <c r="A46" s="38" t="s">
        <v>165</v>
      </c>
    </row>
    <row r="47" spans="1:1" ht="18" customHeight="1" x14ac:dyDescent="0.3">
      <c r="A47" s="37" t="s">
        <v>166</v>
      </c>
    </row>
    <row r="48" spans="1:1" ht="18" customHeight="1" x14ac:dyDescent="0.3">
      <c r="A48" s="38" t="s">
        <v>167</v>
      </c>
    </row>
    <row r="49" spans="1:1" ht="18" customHeight="1" x14ac:dyDescent="0.3">
      <c r="A49" s="37" t="s">
        <v>168</v>
      </c>
    </row>
    <row r="50" spans="1:1" ht="18" customHeight="1" x14ac:dyDescent="0.3">
      <c r="A50" s="38" t="s">
        <v>169</v>
      </c>
    </row>
    <row r="51" spans="1:1" ht="18" customHeight="1" x14ac:dyDescent="0.3">
      <c r="A51" s="37"/>
    </row>
    <row r="52" spans="1:1" ht="18" customHeight="1" x14ac:dyDescent="0.3">
      <c r="A52" s="38" t="s">
        <v>170</v>
      </c>
    </row>
    <row r="53" spans="1:1" ht="18" customHeight="1" x14ac:dyDescent="0.3">
      <c r="A53" s="37" t="s">
        <v>161</v>
      </c>
    </row>
    <row r="54" spans="1:1" ht="18" customHeight="1" x14ac:dyDescent="0.3">
      <c r="A54" s="38" t="s">
        <v>171</v>
      </c>
    </row>
    <row r="55" spans="1:1" ht="18" customHeight="1" x14ac:dyDescent="0.3">
      <c r="A55" s="37" t="s">
        <v>163</v>
      </c>
    </row>
    <row r="56" spans="1:1" ht="18" customHeight="1" x14ac:dyDescent="0.3">
      <c r="A56" s="38" t="s">
        <v>164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إدارة المستخدمين</vt:lpstr>
      <vt:lpstr>الفرص</vt:lpstr>
      <vt:lpstr>ملخص المبيعات</vt:lpstr>
      <vt:lpstr>كود Apps 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Qublan</cp:lastModifiedBy>
  <dcterms:created xsi:type="dcterms:W3CDTF">2026-04-24T11:55:53Z</dcterms:created>
  <dcterms:modified xsi:type="dcterms:W3CDTF">2026-04-24T12:18:01Z</dcterms:modified>
</cp:coreProperties>
</file>